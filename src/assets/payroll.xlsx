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port" sheetId="1" state="visible" r:id="rId1"/>
    <sheet xmlns:r="http://schemas.openxmlformats.org/officeDocument/2006/relationships" name="Payroll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'Payroll Report'!$A$3:$S$22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7365D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4F8FC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4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yrollRunReport" displayName="PayrollRunReport" ref="A3:S22" headerRowCount="1">
  <autoFilter ref="A3:S22"/>
  <tableColumns count="19">
    <tableColumn id="1" name="Employee ID"/>
    <tableColumn id="2" name="Employee Name"/>
    <tableColumn id="3" name="Shift"/>
    <tableColumn id="4" name="Department / Unit"/>
    <tableColumn id="5" name="Designation / Section"/>
    <tableColumn id="6" name="Present Days"/>
    <tableColumn id="7" name="Half Days"/>
    <tableColumn id="8" name="Payable Days"/>
    <tableColumn id="9" name="Monthly Salary (INR)"/>
    <tableColumn id="10" name="Daily Rate / Due (INR)"/>
    <tableColumn id="11" name="Leave Wages / Proration (INR)"/>
    <tableColumn id="12" name="Gross Pay (INR)"/>
    <tableColumn id="13" name="Washing Deduction (INR)"/>
    <tableColumn id="14" name="Uniform Deduction (INR)"/>
    <tableColumn id="15" name="Card Deduction (INR)"/>
    <tableColumn id="16" name="Total Deductions (INR)"/>
    <tableColumn id="17" name="Net Pay (INR)"/>
    <tableColumn id="18" name="Payroll Month"/>
    <tableColumn id="19" name="Payroll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2" customWidth="1" min="4" max="4"/>
    <col width="25" customWidth="1" min="5" max="5"/>
    <col width="15" customWidth="1" min="6" max="6"/>
    <col width="14" customWidth="1" min="7" max="7"/>
    <col width="15" customWidth="1" min="8" max="8"/>
    <col width="23" customWidth="1" min="9" max="9"/>
    <col width="25" customWidth="1" min="10" max="10"/>
    <col width="27" customWidth="1" min="11" max="11"/>
    <col width="18" customWidth="1" min="12" max="12"/>
    <col width="26" customWidth="1" min="13" max="13"/>
    <col width="26" customWidth="1" min="14" max="14"/>
    <col width="23" customWidth="1" min="15" max="15"/>
    <col width="25" customWidth="1" min="16" max="16"/>
    <col width="16" customWidth="1" min="17" max="17"/>
    <col width="16" customWidth="1" min="18" max="18"/>
    <col width="32" customWidth="1" min="19" max="19"/>
  </cols>
  <sheetData>
    <row r="1" ht="30" customHeight="1">
      <c r="A1" s="1" t="inlineStr">
        <is>
          <t>LOGFACE | PAYROLL RUN EXPORT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" t="inlineStr">
        <is>
          <t>Payroll Month: September 2026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42" customHeight="1">
      <c r="A3" s="3" t="inlineStr">
        <is>
          <t>Employee ID</t>
        </is>
      </c>
      <c r="B3" s="3" t="inlineStr">
        <is>
          <t>Employee Name</t>
        </is>
      </c>
      <c r="C3" s="3" t="inlineStr">
        <is>
          <t>Shift</t>
        </is>
      </c>
      <c r="D3" s="3" t="inlineStr">
        <is>
          <t>Department / Unit</t>
        </is>
      </c>
      <c r="E3" s="3" t="inlineStr">
        <is>
          <t>Designation / Section</t>
        </is>
      </c>
      <c r="F3" s="3" t="inlineStr">
        <is>
          <t>Present Days</t>
        </is>
      </c>
      <c r="G3" s="3" t="inlineStr">
        <is>
          <t>Half Days</t>
        </is>
      </c>
      <c r="H3" s="3" t="inlineStr">
        <is>
          <t>Payable Days</t>
        </is>
      </c>
      <c r="I3" s="3" t="inlineStr">
        <is>
          <t>Monthly Salary (INR)</t>
        </is>
      </c>
      <c r="J3" s="3" t="inlineStr">
        <is>
          <t>Daily Rate / Due (INR)</t>
        </is>
      </c>
      <c r="K3" s="3" t="inlineStr">
        <is>
          <t>Leave Wages / Proration (INR)</t>
        </is>
      </c>
      <c r="L3" s="3" t="inlineStr">
        <is>
          <t>Gross Pay (INR)</t>
        </is>
      </c>
      <c r="M3" s="3" t="inlineStr">
        <is>
          <t>Washing Deduction (INR)</t>
        </is>
      </c>
      <c r="N3" s="3" t="inlineStr">
        <is>
          <t>Uniform Deduction (INR)</t>
        </is>
      </c>
      <c r="O3" s="3" t="inlineStr">
        <is>
          <t>Card Deduction (INR)</t>
        </is>
      </c>
      <c r="P3" s="3" t="inlineStr">
        <is>
          <t>Total Deductions (INR)</t>
        </is>
      </c>
      <c r="Q3" s="3" t="inlineStr">
        <is>
          <t>Net Pay (INR)</t>
        </is>
      </c>
      <c r="R3" s="3" t="inlineStr">
        <is>
          <t>Payroll Month</t>
        </is>
      </c>
      <c r="S3" s="3" t="inlineStr">
        <is>
          <t>Payroll Status</t>
        </is>
      </c>
    </row>
    <row r="4">
      <c r="A4" s="4" t="inlineStr">
        <is>
          <t>PTPO02430</t>
        </is>
      </c>
      <c r="B4" s="4" t="inlineStr">
        <is>
          <t>MD NURUDDIN  SAH</t>
        </is>
      </c>
      <c r="C4" s="4" t="inlineStr">
        <is>
          <t>FULL</t>
        </is>
      </c>
      <c r="D4" s="4" t="inlineStr">
        <is>
          <t>HOSTEL</t>
        </is>
      </c>
      <c r="E4" s="4" t="inlineStr">
        <is>
          <t>SPORTS</t>
        </is>
      </c>
      <c r="F4" s="4" t="n">
        <v>29</v>
      </c>
      <c r="G4" s="4" t="n">
        <v>0</v>
      </c>
      <c r="H4" s="5" t="n">
        <v>29</v>
      </c>
      <c r="I4" s="6" t="n">
        <v>17000</v>
      </c>
      <c r="J4" s="6" t="n">
        <v>629.6296296296297</v>
      </c>
      <c r="K4" s="6" t="n">
        <v>1096.774193548387</v>
      </c>
      <c r="L4" s="6" t="n">
        <v>18096.77419354839</v>
      </c>
      <c r="M4" s="6" t="n">
        <v>200</v>
      </c>
      <c r="N4" s="6" t="n">
        <v>200</v>
      </c>
      <c r="O4" s="6" t="n">
        <v>0</v>
      </c>
      <c r="P4" s="6" t="n">
        <v>400</v>
      </c>
      <c r="Q4" s="6" t="n">
        <v>17696.77419354839</v>
      </c>
      <c r="R4" s="4" t="inlineStr">
        <is>
          <t>September 2026</t>
        </is>
      </c>
      <c r="S4" s="4" t="inlineStr">
        <is>
          <t>Calculated – Review Before Publish</t>
        </is>
      </c>
    </row>
    <row r="5">
      <c r="A5" s="7" t="inlineStr">
        <is>
          <t>PTPO02516</t>
        </is>
      </c>
      <c r="B5" s="7" t="inlineStr">
        <is>
          <t>JIBACHH KUMAR</t>
        </is>
      </c>
      <c r="C5" s="7" t="inlineStr">
        <is>
          <t>FULL</t>
        </is>
      </c>
      <c r="D5" s="7" t="inlineStr">
        <is>
          <t>HOSTEL</t>
        </is>
      </c>
      <c r="E5" s="7" t="inlineStr">
        <is>
          <t>STEEL</t>
        </is>
      </c>
      <c r="F5" s="7" t="n">
        <v>29</v>
      </c>
      <c r="G5" s="7" t="n">
        <v>0</v>
      </c>
      <c r="H5" s="8" t="n">
        <v>29</v>
      </c>
      <c r="I5" s="9" t="n">
        <v>17000</v>
      </c>
      <c r="J5" s="9" t="n">
        <v>629.6296296296297</v>
      </c>
      <c r="K5" s="9" t="n">
        <v>1096.774193548387</v>
      </c>
      <c r="L5" s="9" t="n">
        <v>18096.77419354839</v>
      </c>
      <c r="M5" s="9" t="n">
        <v>200</v>
      </c>
      <c r="N5" s="9" t="n">
        <v>200</v>
      </c>
      <c r="O5" s="9" t="n">
        <v>0</v>
      </c>
      <c r="P5" s="9" t="n">
        <v>400</v>
      </c>
      <c r="Q5" s="9" t="n">
        <v>17696.77419354839</v>
      </c>
      <c r="R5" s="7" t="inlineStr">
        <is>
          <t>September 2026</t>
        </is>
      </c>
      <c r="S5" s="7" t="inlineStr">
        <is>
          <t>Calculated – Review Before Publish</t>
        </is>
      </c>
    </row>
    <row r="6">
      <c r="A6" s="4" t="inlineStr">
        <is>
          <t>PTPO02514</t>
        </is>
      </c>
      <c r="B6" s="4" t="inlineStr">
        <is>
          <t>LALIT PASWAN</t>
        </is>
      </c>
      <c r="C6" s="4" t="inlineStr">
        <is>
          <t>FULL</t>
        </is>
      </c>
      <c r="D6" s="4" t="inlineStr">
        <is>
          <t>HOSTEL</t>
        </is>
      </c>
      <c r="E6" s="4" t="inlineStr">
        <is>
          <t>BANDAL</t>
        </is>
      </c>
      <c r="F6" s="4" t="n">
        <v>29</v>
      </c>
      <c r="G6" s="4" t="n">
        <v>0</v>
      </c>
      <c r="H6" s="5" t="n">
        <v>29</v>
      </c>
      <c r="I6" s="6" t="n">
        <v>17000</v>
      </c>
      <c r="J6" s="6" t="n">
        <v>629.6296296296297</v>
      </c>
      <c r="K6" s="6" t="n">
        <v>1096.774193548387</v>
      </c>
      <c r="L6" s="6" t="n">
        <v>18096.77419354839</v>
      </c>
      <c r="M6" s="6" t="n">
        <v>200</v>
      </c>
      <c r="N6" s="6" t="n">
        <v>0</v>
      </c>
      <c r="O6" s="6" t="n">
        <v>0</v>
      </c>
      <c r="P6" s="6" t="n">
        <v>200</v>
      </c>
      <c r="Q6" s="6" t="n">
        <v>17896.77419354839</v>
      </c>
      <c r="R6" s="4" t="inlineStr">
        <is>
          <t>September 2026</t>
        </is>
      </c>
      <c r="S6" s="4" t="inlineStr">
        <is>
          <t>Calculated – Review Before Publish</t>
        </is>
      </c>
    </row>
    <row r="7">
      <c r="A7" s="7" t="inlineStr">
        <is>
          <t>PTPO02522</t>
        </is>
      </c>
      <c r="B7" s="7" t="inlineStr">
        <is>
          <t>SAHID ANSARI</t>
        </is>
      </c>
      <c r="C7" s="7" t="inlineStr">
        <is>
          <t>FULL</t>
        </is>
      </c>
      <c r="D7" s="7" t="inlineStr">
        <is>
          <t>HOSTEL</t>
        </is>
      </c>
      <c r="E7" s="7" t="inlineStr">
        <is>
          <t>BANDAL</t>
        </is>
      </c>
      <c r="F7" s="7" t="n">
        <v>29</v>
      </c>
      <c r="G7" s="7" t="n">
        <v>0</v>
      </c>
      <c r="H7" s="8" t="n">
        <v>29</v>
      </c>
      <c r="I7" s="9" t="n">
        <v>17000</v>
      </c>
      <c r="J7" s="9" t="n">
        <v>629.6296296296297</v>
      </c>
      <c r="K7" s="9" t="n">
        <v>1096.774193548387</v>
      </c>
      <c r="L7" s="9" t="n">
        <v>18096.77419354839</v>
      </c>
      <c r="M7" s="9" t="n">
        <v>200</v>
      </c>
      <c r="N7" s="9" t="n">
        <v>0</v>
      </c>
      <c r="O7" s="9" t="n">
        <v>0</v>
      </c>
      <c r="P7" s="9" t="n">
        <v>200</v>
      </c>
      <c r="Q7" s="9" t="n">
        <v>17896.77419354839</v>
      </c>
      <c r="R7" s="7" t="inlineStr">
        <is>
          <t>September 2026</t>
        </is>
      </c>
      <c r="S7" s="7" t="inlineStr">
        <is>
          <t>Calculated – Review Before Publish</t>
        </is>
      </c>
    </row>
    <row r="8">
      <c r="A8" s="4" t="inlineStr">
        <is>
          <t>PTPO02550</t>
        </is>
      </c>
      <c r="B8" s="4" t="inlineStr">
        <is>
          <t>FIROJ ANSARI</t>
        </is>
      </c>
      <c r="C8" s="4" t="inlineStr">
        <is>
          <t>FULL</t>
        </is>
      </c>
      <c r="D8" s="4" t="inlineStr">
        <is>
          <t>HOSTEL</t>
        </is>
      </c>
      <c r="E8" s="4" t="inlineStr">
        <is>
          <t>TAILOR</t>
        </is>
      </c>
      <c r="F8" s="4" t="n">
        <v>29</v>
      </c>
      <c r="G8" s="4" t="n">
        <v>0</v>
      </c>
      <c r="H8" s="5" t="n">
        <v>29</v>
      </c>
      <c r="I8" s="6" t="n">
        <v>17000</v>
      </c>
      <c r="J8" s="6" t="n">
        <v>629.6296296296297</v>
      </c>
      <c r="K8" s="6" t="n">
        <v>1096.774193548387</v>
      </c>
      <c r="L8" s="6" t="n">
        <v>18096.77419354839</v>
      </c>
      <c r="M8" s="6" t="n">
        <v>200</v>
      </c>
      <c r="N8" s="6" t="n">
        <v>0</v>
      </c>
      <c r="O8" s="6" t="n">
        <v>0</v>
      </c>
      <c r="P8" s="6" t="n">
        <v>200</v>
      </c>
      <c r="Q8" s="6" t="n">
        <v>17896.77419354839</v>
      </c>
      <c r="R8" s="4" t="inlineStr">
        <is>
          <t>September 2026</t>
        </is>
      </c>
      <c r="S8" s="4" t="inlineStr">
        <is>
          <t>Calculated – Review Before Publish</t>
        </is>
      </c>
    </row>
    <row r="9">
      <c r="A9" s="7" t="inlineStr">
        <is>
          <t>PTPO02530</t>
        </is>
      </c>
      <c r="B9" s="7" t="inlineStr">
        <is>
          <t>TUNTUN RAM</t>
        </is>
      </c>
      <c r="C9" s="7" t="inlineStr">
        <is>
          <t>FULL</t>
        </is>
      </c>
      <c r="D9" s="7" t="inlineStr">
        <is>
          <t>HOSTEL</t>
        </is>
      </c>
      <c r="E9" s="7" t="inlineStr">
        <is>
          <t>BANDAL</t>
        </is>
      </c>
      <c r="F9" s="7" t="n">
        <v>29</v>
      </c>
      <c r="G9" s="7" t="n">
        <v>0</v>
      </c>
      <c r="H9" s="8" t="n">
        <v>29</v>
      </c>
      <c r="I9" s="9" t="n">
        <v>17000</v>
      </c>
      <c r="J9" s="9" t="n">
        <v>629.6296296296297</v>
      </c>
      <c r="K9" s="9" t="n">
        <v>1096.774193548387</v>
      </c>
      <c r="L9" s="9" t="n">
        <v>18096.77419354839</v>
      </c>
      <c r="M9" s="9" t="n">
        <v>200</v>
      </c>
      <c r="N9" s="9" t="n">
        <v>0</v>
      </c>
      <c r="O9" s="9" t="n">
        <v>0</v>
      </c>
      <c r="P9" s="9" t="n">
        <v>200</v>
      </c>
      <c r="Q9" s="9" t="n">
        <v>17896.77419354839</v>
      </c>
      <c r="R9" s="7" t="inlineStr">
        <is>
          <t>September 2026</t>
        </is>
      </c>
      <c r="S9" s="7" t="inlineStr">
        <is>
          <t>Calculated – Review Before Publish</t>
        </is>
      </c>
    </row>
    <row r="10">
      <c r="A10" s="4" t="inlineStr">
        <is>
          <t>PTPO02529</t>
        </is>
      </c>
      <c r="B10" s="4" t="inlineStr">
        <is>
          <t>SAMBHU RAM</t>
        </is>
      </c>
      <c r="C10" s="4" t="inlineStr">
        <is>
          <t>FULL</t>
        </is>
      </c>
      <c r="D10" s="4" t="inlineStr">
        <is>
          <t>HOSTEL</t>
        </is>
      </c>
      <c r="E10" s="4" t="inlineStr">
        <is>
          <t>BANDAL</t>
        </is>
      </c>
      <c r="F10" s="4" t="n">
        <v>29</v>
      </c>
      <c r="G10" s="4" t="n">
        <v>0</v>
      </c>
      <c r="H10" s="5" t="n">
        <v>29</v>
      </c>
      <c r="I10" s="6" t="n">
        <v>17000</v>
      </c>
      <c r="J10" s="6" t="n">
        <v>629.6296296296297</v>
      </c>
      <c r="K10" s="6" t="n">
        <v>1096.774193548387</v>
      </c>
      <c r="L10" s="6" t="n">
        <v>18096.77419354839</v>
      </c>
      <c r="M10" s="6" t="n">
        <v>200</v>
      </c>
      <c r="N10" s="6" t="n">
        <v>0</v>
      </c>
      <c r="O10" s="6" t="n">
        <v>0</v>
      </c>
      <c r="P10" s="6" t="n">
        <v>200</v>
      </c>
      <c r="Q10" s="6" t="n">
        <v>17896.77419354839</v>
      </c>
      <c r="R10" s="4" t="inlineStr">
        <is>
          <t>September 2026</t>
        </is>
      </c>
      <c r="S10" s="4" t="inlineStr">
        <is>
          <t>Calculated – Review Before Publish</t>
        </is>
      </c>
    </row>
    <row r="11">
      <c r="A11" s="7" t="inlineStr">
        <is>
          <t>PTPO02434</t>
        </is>
      </c>
      <c r="B11" s="7" t="inlineStr">
        <is>
          <t>ADISAYA G</t>
        </is>
      </c>
      <c r="C11" s="7" t="inlineStr">
        <is>
          <t>FULL</t>
        </is>
      </c>
      <c r="D11" s="7" t="inlineStr">
        <is>
          <t>HOSTEL</t>
        </is>
      </c>
      <c r="E11" s="7" t="inlineStr">
        <is>
          <t>BOYS R/M</t>
        </is>
      </c>
      <c r="F11" s="7" t="n">
        <v>28</v>
      </c>
      <c r="G11" s="7" t="n">
        <v>1</v>
      </c>
      <c r="H11" s="8" t="n">
        <v>28.5</v>
      </c>
      <c r="I11" s="9" t="n">
        <v>17000</v>
      </c>
      <c r="J11" s="9" t="n">
        <v>629.6296296296297</v>
      </c>
      <c r="K11" s="9" t="n">
        <v>822.5806451612902</v>
      </c>
      <c r="L11" s="9" t="n">
        <v>17822.58064516129</v>
      </c>
      <c r="M11" s="9" t="n">
        <v>200</v>
      </c>
      <c r="N11" s="9" t="n">
        <v>0</v>
      </c>
      <c r="O11" s="9" t="n">
        <v>0</v>
      </c>
      <c r="P11" s="9" t="n">
        <v>200</v>
      </c>
      <c r="Q11" s="9" t="n">
        <v>17622.58064516129</v>
      </c>
      <c r="R11" s="7" t="inlineStr">
        <is>
          <t>September 2026</t>
        </is>
      </c>
      <c r="S11" s="7" t="inlineStr">
        <is>
          <t>Calculated – Review Before Publish</t>
        </is>
      </c>
    </row>
    <row r="12">
      <c r="A12" s="4" t="inlineStr">
        <is>
          <t>PTPO01859</t>
        </is>
      </c>
      <c r="B12" s="4" t="inlineStr">
        <is>
          <t>PRIYADHARSHINI S</t>
        </is>
      </c>
      <c r="C12" s="4" t="inlineStr">
        <is>
          <t>FULL</t>
        </is>
      </c>
      <c r="D12" s="4" t="inlineStr">
        <is>
          <t>HOSTEL</t>
        </is>
      </c>
      <c r="E12" s="4" t="inlineStr">
        <is>
          <t>GIRLS R/M</t>
        </is>
      </c>
      <c r="F12" s="4" t="n">
        <v>28</v>
      </c>
      <c r="G12" s="4" t="n">
        <v>0</v>
      </c>
      <c r="H12" s="5" t="n">
        <v>28</v>
      </c>
      <c r="I12" s="6" t="n">
        <v>17000</v>
      </c>
      <c r="J12" s="6" t="n">
        <v>629.6296296296297</v>
      </c>
      <c r="K12" s="6" t="n">
        <v>548.3870967741935</v>
      </c>
      <c r="L12" s="6" t="n">
        <v>17548.38709677419</v>
      </c>
      <c r="M12" s="6" t="n">
        <v>200</v>
      </c>
      <c r="N12" s="6" t="n">
        <v>0</v>
      </c>
      <c r="O12" s="6" t="n">
        <v>0</v>
      </c>
      <c r="P12" s="6" t="n">
        <v>200</v>
      </c>
      <c r="Q12" s="6" t="n">
        <v>17348.38709677419</v>
      </c>
      <c r="R12" s="4" t="inlineStr">
        <is>
          <t>September 2026</t>
        </is>
      </c>
      <c r="S12" s="4" t="inlineStr">
        <is>
          <t>Calculated – Review Before Publish</t>
        </is>
      </c>
    </row>
    <row r="13">
      <c r="A13" s="7" t="inlineStr">
        <is>
          <t>PTPO01924</t>
        </is>
      </c>
      <c r="B13" s="7" t="inlineStr">
        <is>
          <t>REVATHI</t>
        </is>
      </c>
      <c r="C13" s="7" t="inlineStr">
        <is>
          <t>FULL</t>
        </is>
      </c>
      <c r="D13" s="7" t="inlineStr">
        <is>
          <t>HOSTEL</t>
        </is>
      </c>
      <c r="E13" s="7" t="inlineStr">
        <is>
          <t>PLASTIC</t>
        </is>
      </c>
      <c r="F13" s="7" t="n">
        <v>28</v>
      </c>
      <c r="G13" s="7" t="n">
        <v>0</v>
      </c>
      <c r="H13" s="8" t="n">
        <v>28</v>
      </c>
      <c r="I13" s="9" t="n">
        <v>17000</v>
      </c>
      <c r="J13" s="9" t="n">
        <v>629.6296296296297</v>
      </c>
      <c r="K13" s="9" t="n">
        <v>548.3870967741935</v>
      </c>
      <c r="L13" s="9" t="n">
        <v>17548.38709677419</v>
      </c>
      <c r="M13" s="9" t="n">
        <v>200</v>
      </c>
      <c r="N13" s="9" t="n">
        <v>0</v>
      </c>
      <c r="O13" s="9" t="n">
        <v>0</v>
      </c>
      <c r="P13" s="9" t="n">
        <v>200</v>
      </c>
      <c r="Q13" s="9" t="n">
        <v>17348.38709677419</v>
      </c>
      <c r="R13" s="7" t="inlineStr">
        <is>
          <t>September 2026</t>
        </is>
      </c>
      <c r="S13" s="7" t="inlineStr">
        <is>
          <t>Calculated – Review Before Publish</t>
        </is>
      </c>
    </row>
    <row r="14">
      <c r="A14" s="4" t="inlineStr">
        <is>
          <t>PTPO02428</t>
        </is>
      </c>
      <c r="B14" s="4" t="inlineStr">
        <is>
          <t>RAFIQUE ANSARI</t>
        </is>
      </c>
      <c r="C14" s="4" t="inlineStr">
        <is>
          <t>FULL</t>
        </is>
      </c>
      <c r="D14" s="4" t="inlineStr">
        <is>
          <t>HOSTEL</t>
        </is>
      </c>
      <c r="E14" s="4" t="inlineStr">
        <is>
          <t>SPORTS</t>
        </is>
      </c>
      <c r="F14" s="4" t="n">
        <v>28</v>
      </c>
      <c r="G14" s="4" t="n">
        <v>0</v>
      </c>
      <c r="H14" s="5" t="n">
        <v>28</v>
      </c>
      <c r="I14" s="6" t="n">
        <v>17000</v>
      </c>
      <c r="J14" s="6" t="n">
        <v>629.6296296296297</v>
      </c>
      <c r="K14" s="6" t="n">
        <v>548.3870967741935</v>
      </c>
      <c r="L14" s="6" t="n">
        <v>17548.38709677419</v>
      </c>
      <c r="M14" s="6" t="n">
        <v>200</v>
      </c>
      <c r="N14" s="6" t="n">
        <v>200</v>
      </c>
      <c r="O14" s="6" t="n">
        <v>0</v>
      </c>
      <c r="P14" s="6" t="n">
        <v>400</v>
      </c>
      <c r="Q14" s="6" t="n">
        <v>17148.38709677419</v>
      </c>
      <c r="R14" s="4" t="inlineStr">
        <is>
          <t>September 2026</t>
        </is>
      </c>
      <c r="S14" s="4" t="inlineStr">
        <is>
          <t>Calculated – Review Before Publish</t>
        </is>
      </c>
    </row>
    <row r="15">
      <c r="A15" s="7" t="inlineStr">
        <is>
          <t>PTPO02558</t>
        </is>
      </c>
      <c r="B15" s="7" t="inlineStr">
        <is>
          <t>RANJITH KUMAR</t>
        </is>
      </c>
      <c r="C15" s="7" t="inlineStr">
        <is>
          <t>FULL</t>
        </is>
      </c>
      <c r="D15" s="7" t="inlineStr">
        <is>
          <t>day scholar</t>
        </is>
      </c>
      <c r="E15" s="7" t="inlineStr">
        <is>
          <t>DELIVERY</t>
        </is>
      </c>
      <c r="F15" s="7" t="n">
        <v>27</v>
      </c>
      <c r="G15" s="7" t="n">
        <v>0</v>
      </c>
      <c r="H15" s="8" t="n">
        <v>27</v>
      </c>
      <c r="I15" s="9" t="n">
        <v>18000</v>
      </c>
      <c r="J15" s="9" t="n">
        <v>580.6451612903226</v>
      </c>
      <c r="K15" s="9" t="n">
        <v>0</v>
      </c>
      <c r="L15" s="9" t="n">
        <v>15677.41935483871</v>
      </c>
      <c r="M15" s="9" t="n">
        <v>0</v>
      </c>
      <c r="N15" s="9" t="n">
        <v>200</v>
      </c>
      <c r="O15" s="9" t="n">
        <v>250</v>
      </c>
      <c r="P15" s="9" t="n">
        <v>450</v>
      </c>
      <c r="Q15" s="9" t="n">
        <v>15227.41935483871</v>
      </c>
      <c r="R15" s="7" t="inlineStr">
        <is>
          <t>September 2026</t>
        </is>
      </c>
      <c r="S15" s="7" t="inlineStr">
        <is>
          <t>Calculated – Review Before Publish</t>
        </is>
      </c>
    </row>
    <row r="16">
      <c r="A16" s="4" t="inlineStr">
        <is>
          <t>PTPO02559</t>
        </is>
      </c>
      <c r="B16" s="4" t="inlineStr">
        <is>
          <t>RAJIB DAS</t>
        </is>
      </c>
      <c r="C16" s="4" t="inlineStr">
        <is>
          <t>FULL</t>
        </is>
      </c>
      <c r="D16" s="4" t="inlineStr">
        <is>
          <t>day scholar</t>
        </is>
      </c>
      <c r="E16" s="4" t="inlineStr">
        <is>
          <t>LPA</t>
        </is>
      </c>
      <c r="F16" s="4" t="n">
        <v>27</v>
      </c>
      <c r="G16" s="4" t="n">
        <v>0</v>
      </c>
      <c r="H16" s="5" t="n">
        <v>27</v>
      </c>
      <c r="I16" s="6" t="n">
        <v>18000</v>
      </c>
      <c r="J16" s="6" t="n">
        <v>580.6451612903226</v>
      </c>
      <c r="K16" s="6" t="n">
        <v>0</v>
      </c>
      <c r="L16" s="6" t="n">
        <v>15677.41935483871</v>
      </c>
      <c r="M16" s="6" t="n">
        <v>0</v>
      </c>
      <c r="N16" s="6" t="n">
        <v>0</v>
      </c>
      <c r="O16" s="6" t="n">
        <v>250</v>
      </c>
      <c r="P16" s="6" t="n">
        <v>250</v>
      </c>
      <c r="Q16" s="6" t="n">
        <v>15427.41935483871</v>
      </c>
      <c r="R16" s="4" t="inlineStr">
        <is>
          <t>September 2026</t>
        </is>
      </c>
      <c r="S16" s="4" t="inlineStr">
        <is>
          <t>Calculated – Review Before Publish</t>
        </is>
      </c>
    </row>
    <row r="17">
      <c r="A17" s="7" t="inlineStr">
        <is>
          <t>PTPO02561</t>
        </is>
      </c>
      <c r="B17" s="7" t="inlineStr">
        <is>
          <t>LAKSHMI ROY</t>
        </is>
      </c>
      <c r="C17" s="7" t="inlineStr">
        <is>
          <t>FULL</t>
        </is>
      </c>
      <c r="D17" s="7" t="inlineStr">
        <is>
          <t>day scholar</t>
        </is>
      </c>
      <c r="E17" s="7" t="inlineStr">
        <is>
          <t>LPA</t>
        </is>
      </c>
      <c r="F17" s="7" t="n">
        <v>25</v>
      </c>
      <c r="G17" s="7" t="n">
        <v>1</v>
      </c>
      <c r="H17" s="8" t="n">
        <v>25.5</v>
      </c>
      <c r="I17" s="9" t="n">
        <v>18000</v>
      </c>
      <c r="J17" s="9" t="n">
        <v>580.6451612903226</v>
      </c>
      <c r="K17" s="9" t="n">
        <v>0</v>
      </c>
      <c r="L17" s="9" t="n">
        <v>14806.45161290323</v>
      </c>
      <c r="M17" s="9" t="n">
        <v>0</v>
      </c>
      <c r="N17" s="9" t="n">
        <v>0</v>
      </c>
      <c r="O17" s="9" t="n">
        <v>250</v>
      </c>
      <c r="P17" s="9" t="n">
        <v>250</v>
      </c>
      <c r="Q17" s="9" t="n">
        <v>14556.45161290323</v>
      </c>
      <c r="R17" s="7" t="inlineStr">
        <is>
          <t>September 2026</t>
        </is>
      </c>
      <c r="S17" s="7" t="inlineStr">
        <is>
          <t>Calculated – Review Before Publish</t>
        </is>
      </c>
    </row>
    <row r="18">
      <c r="A18" s="4" t="inlineStr">
        <is>
          <t>PTPO02566</t>
        </is>
      </c>
      <c r="B18" s="4" t="inlineStr">
        <is>
          <t>S ANJALI</t>
        </is>
      </c>
      <c r="C18" s="4" t="inlineStr">
        <is>
          <t>FULL</t>
        </is>
      </c>
      <c r="D18" s="4" t="inlineStr">
        <is>
          <t>day scholar</t>
        </is>
      </c>
      <c r="E18" s="4" t="inlineStr">
        <is>
          <t>STATIONARY</t>
        </is>
      </c>
      <c r="F18" s="4" t="n">
        <v>4</v>
      </c>
      <c r="G18" s="4" t="n">
        <v>0</v>
      </c>
      <c r="H18" s="5" t="n">
        <v>4</v>
      </c>
      <c r="I18" s="6" t="n">
        <v>17000</v>
      </c>
      <c r="J18" s="6" t="n">
        <v>548.3870967741935</v>
      </c>
      <c r="K18" s="6" t="n">
        <v>0</v>
      </c>
      <c r="L18" s="6" t="n">
        <v>2193.548387096774</v>
      </c>
      <c r="M18" s="6" t="n">
        <v>0</v>
      </c>
      <c r="N18" s="6" t="n">
        <v>200</v>
      </c>
      <c r="O18" s="6" t="n">
        <v>250</v>
      </c>
      <c r="P18" s="6" t="n">
        <v>450</v>
      </c>
      <c r="Q18" s="6" t="n">
        <v>1743.548387096774</v>
      </c>
      <c r="R18" s="4" t="inlineStr">
        <is>
          <t>September 2026</t>
        </is>
      </c>
      <c r="S18" s="4" t="inlineStr">
        <is>
          <t>Calculated – Review Before Publish</t>
        </is>
      </c>
    </row>
    <row r="19">
      <c r="A19" s="7" t="inlineStr">
        <is>
          <t>PTPO02568</t>
        </is>
      </c>
      <c r="B19" s="7" t="inlineStr">
        <is>
          <t>R SAHKTHI VEL</t>
        </is>
      </c>
      <c r="C19" s="7" t="inlineStr">
        <is>
          <t>FULL</t>
        </is>
      </c>
      <c r="D19" s="7" t="inlineStr">
        <is>
          <t>day scholar</t>
        </is>
      </c>
      <c r="E19" s="7" t="inlineStr">
        <is>
          <t>BILLING</t>
        </is>
      </c>
      <c r="F19" s="7" t="n">
        <v>27</v>
      </c>
      <c r="G19" s="7" t="n">
        <v>0</v>
      </c>
      <c r="H19" s="8" t="n">
        <v>27</v>
      </c>
      <c r="I19" s="9" t="n">
        <v>18000</v>
      </c>
      <c r="J19" s="9" t="n">
        <v>580.6451612903226</v>
      </c>
      <c r="K19" s="9" t="n">
        <v>0</v>
      </c>
      <c r="L19" s="9" t="n">
        <v>15677.41935483871</v>
      </c>
      <c r="M19" s="9" t="n">
        <v>0</v>
      </c>
      <c r="N19" s="9" t="n">
        <v>200</v>
      </c>
      <c r="O19" s="9" t="n">
        <v>250</v>
      </c>
      <c r="P19" s="9" t="n">
        <v>450</v>
      </c>
      <c r="Q19" s="9" t="n">
        <v>15227.41935483871</v>
      </c>
      <c r="R19" s="7" t="inlineStr">
        <is>
          <t>September 2026</t>
        </is>
      </c>
      <c r="S19" s="7" t="inlineStr">
        <is>
          <t>Calculated – Review Before Publish</t>
        </is>
      </c>
    </row>
    <row r="20">
      <c r="A20" s="4" t="inlineStr">
        <is>
          <t>PTPO001366</t>
        </is>
      </c>
      <c r="B20" s="4" t="inlineStr">
        <is>
          <t>VASANTHI K</t>
        </is>
      </c>
      <c r="C20" s="4" t="inlineStr">
        <is>
          <t>FULL</t>
        </is>
      </c>
      <c r="D20" s="4" t="inlineStr">
        <is>
          <t>day scholar</t>
        </is>
      </c>
      <c r="E20" s="4" t="inlineStr">
        <is>
          <t>BOYS R/M</t>
        </is>
      </c>
      <c r="F20" s="4" t="n">
        <v>16</v>
      </c>
      <c r="G20" s="4" t="n">
        <v>0</v>
      </c>
      <c r="H20" s="5" t="n">
        <v>16</v>
      </c>
      <c r="I20" s="6" t="n">
        <v>17000</v>
      </c>
      <c r="J20" s="6" t="n">
        <v>548.3870967741935</v>
      </c>
      <c r="K20" s="6" t="n">
        <v>0</v>
      </c>
      <c r="L20" s="6" t="n">
        <v>8774.193548387097</v>
      </c>
      <c r="M20" s="6" t="n">
        <v>0</v>
      </c>
      <c r="N20" s="6" t="n">
        <v>200</v>
      </c>
      <c r="O20" s="6" t="n">
        <v>250</v>
      </c>
      <c r="P20" s="6" t="n">
        <v>450</v>
      </c>
      <c r="Q20" s="6" t="n">
        <v>8324.193548387097</v>
      </c>
      <c r="R20" s="4" t="inlineStr">
        <is>
          <t>September 2026</t>
        </is>
      </c>
      <c r="S20" s="4" t="inlineStr">
        <is>
          <t>Calculated – Review Before Publish</t>
        </is>
      </c>
    </row>
    <row r="21">
      <c r="A21" s="7" t="inlineStr">
        <is>
          <t>PTPO00827</t>
        </is>
      </c>
      <c r="B21" s="7" t="inlineStr">
        <is>
          <t>YOKESH .S</t>
        </is>
      </c>
      <c r="C21" s="7" t="inlineStr">
        <is>
          <t>PAR TIME</t>
        </is>
      </c>
      <c r="D21" s="7" t="inlineStr">
        <is>
          <t>day scholar</t>
        </is>
      </c>
      <c r="E21" s="7" t="inlineStr">
        <is>
          <t>SHIRT</t>
        </is>
      </c>
      <c r="F21" s="7" t="n">
        <v>26</v>
      </c>
      <c r="G21" s="7" t="n">
        <v>0</v>
      </c>
      <c r="H21" s="8" t="n">
        <v>26</v>
      </c>
      <c r="I21" s="9" t="n">
        <v>8000</v>
      </c>
      <c r="J21" s="9" t="n">
        <v>296.2962962962963</v>
      </c>
      <c r="K21" s="9" t="n">
        <v>0</v>
      </c>
      <c r="L21" s="9" t="n">
        <v>7703.703703703704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7703.703703703704</v>
      </c>
      <c r="R21" s="7" t="inlineStr">
        <is>
          <t>September 2026</t>
        </is>
      </c>
      <c r="S21" s="7" t="inlineStr">
        <is>
          <t>Calculated – Review Before Publish</t>
        </is>
      </c>
    </row>
    <row r="22">
      <c r="A22" s="4" t="inlineStr">
        <is>
          <t>PTPO01780</t>
        </is>
      </c>
      <c r="B22" s="4" t="inlineStr">
        <is>
          <t>SNEHA V</t>
        </is>
      </c>
      <c r="C22" s="4" t="inlineStr">
        <is>
          <t>PAR TIME</t>
        </is>
      </c>
      <c r="D22" s="4" t="inlineStr">
        <is>
          <t>day scholar</t>
        </is>
      </c>
      <c r="E22" s="4" t="inlineStr">
        <is>
          <t>BOYS R/M</t>
        </is>
      </c>
      <c r="F22" s="4" t="n">
        <v>19</v>
      </c>
      <c r="G22" s="4" t="n">
        <v>0</v>
      </c>
      <c r="H22" s="5" t="n">
        <v>19</v>
      </c>
      <c r="I22" s="6" t="n">
        <v>9000</v>
      </c>
      <c r="J22" s="6" t="n">
        <v>333.3333333333333</v>
      </c>
      <c r="K22" s="6" t="n">
        <v>0</v>
      </c>
      <c r="L22" s="6" t="n">
        <v>6333.333333333333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6333.333333333333</v>
      </c>
      <c r="R22" s="4" t="inlineStr">
        <is>
          <t>September 2026</t>
        </is>
      </c>
      <c r="S22" s="4" t="inlineStr">
        <is>
          <t>Calculated – Review Before Publish</t>
        </is>
      </c>
    </row>
  </sheetData>
  <autoFilter ref="A3:S22"/>
  <mergeCells count="2">
    <mergeCell ref="A2:F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LOGFACE | PAYROLL RUN SUMMARY</t>
        </is>
      </c>
      <c r="B1" s="1" t="n"/>
      <c r="C1" s="1" t="n"/>
      <c r="D1" s="1" t="n"/>
    </row>
    <row r="2">
      <c r="A2" s="2" t="inlineStr">
        <is>
          <t>Payroll Month</t>
        </is>
      </c>
      <c r="B2" s="7" t="inlineStr">
        <is>
          <t>September 2026</t>
        </is>
      </c>
      <c r="C2" s="7" t="n"/>
      <c r="D2" s="7" t="n"/>
    </row>
    <row r="3">
      <c r="A3" s="2" t="inlineStr">
        <is>
          <t>Pay Period</t>
        </is>
      </c>
      <c r="B3" s="7" t="inlineStr">
        <is>
          <t>01-Sep-2026 to 30-Sep-2026</t>
        </is>
      </c>
      <c r="C3" s="7" t="n"/>
      <c r="D3" s="7" t="n"/>
    </row>
    <row r="4">
      <c r="A4" s="2" t="inlineStr">
        <is>
          <t>Employees Included</t>
        </is>
      </c>
      <c r="B4" s="7" t="n">
        <v>19</v>
      </c>
      <c r="C4" s="7" t="n"/>
      <c r="D4" s="7" t="n"/>
    </row>
    <row r="5">
      <c r="A5" s="2" t="inlineStr">
        <is>
          <t>Total Gross Pay (INR)</t>
        </is>
      </c>
      <c r="B5" s="10">
        <f>SUM('Payroll Report'!L4:L22 )</f>
        <v/>
      </c>
      <c r="C5" s="7" t="n"/>
      <c r="D5" s="7" t="n"/>
    </row>
    <row r="6">
      <c r="A6" s="2" t="inlineStr">
        <is>
          <t>Total Deductions (INR)</t>
        </is>
      </c>
      <c r="B6" s="10">
        <f>SUM('Payroll Report'!P4:P22 )</f>
        <v/>
      </c>
      <c r="C6" s="7" t="n"/>
      <c r="D6" s="7" t="n"/>
    </row>
    <row r="7">
      <c r="A7" s="2" t="inlineStr">
        <is>
          <t>Total Net Pay (INR)</t>
        </is>
      </c>
      <c r="B7" s="10">
        <f>SUM('Payroll Report'!Q4:Q22 )</f>
        <v/>
      </c>
      <c r="C7" s="7" t="n"/>
      <c r="D7" s="7" t="n"/>
    </row>
    <row r="8">
      <c r="A8" s="2" t="inlineStr">
        <is>
          <t>Payroll Status</t>
        </is>
      </c>
      <c r="B8" s="7" t="inlineStr">
        <is>
          <t>Draft export – review and approve before publishing</t>
        </is>
      </c>
      <c r="C8" s="7" t="n"/>
      <c r="D8" s="7" t="n"/>
    </row>
    <row r="9">
      <c r="A9" s="7" t="n"/>
      <c r="B9" s="7" t="n"/>
      <c r="C9" s="7" t="n"/>
      <c r="D9" s="7" t="n"/>
    </row>
    <row r="10">
      <c r="A10" s="7" t="inlineStr">
        <is>
          <t>Important Note</t>
        </is>
      </c>
      <c r="B10" s="7" t="inlineStr">
        <is>
          <t>Amounts are mapped from the uploaded salary sheet. Validate calculations and statutory deductions with payroll/finance before publishing.</t>
        </is>
      </c>
      <c r="C10" s="7" t="n"/>
      <c r="D10" s="7" t="n"/>
    </row>
  </sheetData>
  <mergeCells count="2">
    <mergeCell ref="A1:D1"/>
    <mergeCell ref="B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PAYROLL EXPORT – HOW TO USE</t>
        </is>
      </c>
      <c r="B1" s="1" t="n"/>
    </row>
    <row r="2" ht="38" customHeight="1">
      <c r="A2" s="2" t="inlineStr">
        <is>
          <t>Purpose</t>
        </is>
      </c>
      <c r="B2" s="7" t="inlineStr">
        <is>
          <t>Employee-wise payroll report to export/download after payroll processing.</t>
        </is>
      </c>
    </row>
    <row r="3" ht="38" customHeight="1">
      <c r="A3" s="2" t="inlineStr">
        <is>
          <t>Payroll Report</t>
        </is>
      </c>
      <c r="B3" s="7" t="inlineStr">
        <is>
          <t>Contains employee identifiers, attendance/payable days, salary, deductions, net pay, payroll month and review status.</t>
        </is>
      </c>
    </row>
    <row r="4" ht="38" customHeight="1">
      <c r="A4" s="2" t="inlineStr">
        <is>
          <t>Payroll Summary</t>
        </is>
      </c>
      <c r="B4" s="7" t="inlineStr">
        <is>
          <t>Shows employee count and aggregate gross pay, deductions and net pay.</t>
        </is>
      </c>
    </row>
    <row r="5" ht="38" customHeight="1">
      <c r="A5" s="2" t="inlineStr">
        <is>
          <t>Data source</t>
        </is>
      </c>
      <c r="B5" s="7" t="inlineStr">
        <is>
          <t>Prepared from the uploaded 'Saravana Stores - SALARY EXCEL.xlsx' salary report.</t>
        </is>
      </c>
    </row>
    <row r="6" ht="38" customHeight="1">
      <c r="A6" s="2" t="inlineStr">
        <is>
          <t>Review required</t>
        </is>
      </c>
      <c r="B6" s="7" t="inlineStr">
        <is>
          <t>This is a draft export. Verify employee records, pay-period alignment, formulas and deductions before marking payroll as approved/published.</t>
        </is>
      </c>
    </row>
    <row r="7" ht="38" customHeight="1">
      <c r="A7" s="2" t="inlineStr">
        <is>
          <t>Security</t>
        </is>
      </c>
      <c r="B7" s="7" t="inlineStr">
        <is>
          <t>Contains personal salary information. Store and share only with authorized payroll/admin users.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2026-10-14T10:20:39Z</dcterms:created>
  <dcterms:modified xmlns:dcterms="http://purl.org/dc/terms/" xmlns:xsi="http://www.w3.org/2001/XMLSchema-instance" xsi:type="dcterms:W3CDTF">2026-10-14T10:20:39Z</dcterms:modified>
</cp:coreProperties>
</file>